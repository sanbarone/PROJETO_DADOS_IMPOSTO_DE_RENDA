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F:\#CURSO EXCEL + AI SANTANDER - DIO\PROJETO - Criando um Organizador de Declaração de Imposto de Renda\"/>
    </mc:Choice>
  </mc:AlternateContent>
  <xr:revisionPtr revIDLastSave="0" documentId="13_ncr:1_{6B4A7A55-49EC-49C1-9174-857BC1FBBE4E}" xr6:coauthVersionLast="47" xr6:coauthVersionMax="47" xr10:uidLastSave="{00000000-0000-0000-0000-000000000000}"/>
  <bookViews>
    <workbookView xWindow="25080" yWindow="-120" windowWidth="25440" windowHeight="15540" tabRatio="0" xr2:uid="{8986BDB1-FC21-4449-90D0-A836718E0BBF}"/>
  </bookViews>
  <sheets>
    <sheet name="TITULAR" sheetId="1" r:id="rId1"/>
    <sheet name="INFORMES" sheetId="4" r:id="rId2"/>
    <sheet name="NOTAS" sheetId="5" r:id="rId3"/>
    <sheet name="BANCO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H13" i="5"/>
  <c r="H10" i="5"/>
  <c r="D6" i="4"/>
</calcChain>
</file>

<file path=xl/sharedStrings.xml><?xml version="1.0" encoding="utf-8"?>
<sst xmlns="http://schemas.openxmlformats.org/spreadsheetml/2006/main" count="120" uniqueCount="100">
  <si>
    <t>NOME</t>
  </si>
  <si>
    <t>CPF</t>
  </si>
  <si>
    <t>NASCIMENTO</t>
  </si>
  <si>
    <t>TÍTULO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</si>
  <si>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</si>
  <si>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</si>
  <si>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</si>
  <si>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</si>
  <si>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</si>
  <si>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</si>
  <si>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</si>
  <si>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</si>
  <si>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CÔNUGE</t>
  </si>
  <si>
    <t>RESIDENDE NO EXTERIOR</t>
  </si>
  <si>
    <t>Preencha os dados de sua pessoa física abaixo</t>
  </si>
  <si>
    <t>1 - DADOS DO TITULAR</t>
  </si>
  <si>
    <t>NÃO</t>
  </si>
  <si>
    <t>FELIPE SKYWALKER NOBUNAGA</t>
  </si>
  <si>
    <t>FELIPE@DIO.ME</t>
  </si>
  <si>
    <t>Rua dos Limoeiros, R, - Nº180</t>
  </si>
  <si>
    <t>Rua dos Limoeiros, Ruan, - Nº180</t>
  </si>
  <si>
    <t>Mia Goth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</si>
  <si>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</si>
  <si>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</si>
  <si>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</si>
  <si>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</si>
  <si>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</si>
  <si>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</si>
  <si>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</si>
  <si>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</si>
  <si>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</si>
  <si>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</si>
  <si>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</si>
  <si>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</si>
  <si>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</si>
  <si>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</si>
  <si>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</si>
  <si>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</si>
  <si>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</si>
  <si>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</si>
  <si>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</si>
  <si>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</si>
  <si>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</si>
  <si>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</si>
  <si>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</si>
  <si>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</si>
  <si>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</si>
  <si>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</si>
  <si>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</si>
  <si>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</si>
  <si>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</si>
  <si>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</si>
  <si>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</si>
  <si>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</si>
  <si>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</si>
  <si>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</si>
  <si>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</si>
  <si>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</si>
  <si>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</si>
  <si>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</si>
  <si>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</si>
  <si>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</si>
  <si>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</si>
  <si>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</si>
  <si>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</si>
  <si>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</si>
  <si>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</si>
  <si>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</si>
  <si>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</si>
  <si>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</si>
  <si>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</si>
  <si>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</si>
  <si>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</si>
  <si>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</si>
  <si>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BANCO</t>
  </si>
  <si>
    <t>VALOR EM 31/12</t>
  </si>
  <si>
    <t>ANEXO 📎</t>
  </si>
  <si>
    <t>NOTA.PDF</t>
  </si>
  <si>
    <t>2º Banco</t>
  </si>
  <si>
    <t>3º Banco</t>
  </si>
  <si>
    <t xml:space="preserve">TOTAL </t>
  </si>
  <si>
    <t>2 - INFORMES DE RENDIMENTOS BANCÁRIOS</t>
  </si>
  <si>
    <t>3 - LISTA DE NOTAS BANCÁRIAS E RECEBIDOS</t>
  </si>
  <si>
    <t>Preencha com todas as ENTRADAS</t>
  </si>
  <si>
    <t>DATA</t>
  </si>
  <si>
    <t>CATERGORIA</t>
  </si>
  <si>
    <t>VALOR</t>
  </si>
  <si>
    <t>ENTRADAS</t>
  </si>
  <si>
    <t>HOLERITH</t>
  </si>
  <si>
    <t>OPERAÇÃO</t>
  </si>
  <si>
    <t>ENTRADA</t>
  </si>
  <si>
    <t>SAÍDAS</t>
  </si>
  <si>
    <t>ALUGUEL</t>
  </si>
  <si>
    <t>SAIDA</t>
  </si>
  <si>
    <t>DOAÇÃO</t>
  </si>
  <si>
    <t>RACHALANCHE</t>
  </si>
  <si>
    <t>PIX</t>
  </si>
  <si>
    <t>SALDO</t>
  </si>
  <si>
    <t>ALIMENTAÇÃO</t>
  </si>
  <si>
    <t>ENTRADAS E 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</si>
</sst>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&quot; &quot;0000&quot;-&quot;0000"/>
    <numFmt numFmtId="167" formatCode="&quot;(&quot;00&quot;)&quot;&quot; &quot;00000&quot;-&quot;0000"/>
    <numFmt numFmtId="168" formatCode="&quot;R$&quot;\ #,##0.00"/>
  </numFmts>
  <fonts count="2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3" tint="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3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5"/>
      <color theme="7" tint="-0.249977111117893"/>
      <name val="Aptos Narrow"/>
      <family val="2"/>
      <scheme val="minor"/>
    </font>
    <font>
      <sz val="11"/>
      <color theme="0"/>
      <name val="Segoe UI Black"/>
      <family val="2"/>
    </font>
    <font>
      <sz val="11"/>
      <color theme="4" tint="-0.249977111117893"/>
      <name val="Segoe UI Light"/>
      <family val="2"/>
    </font>
    <font>
      <sz val="11"/>
      <color rgb="FF9C0006"/>
      <name val="Aptos Narrow"/>
      <family val="2"/>
      <scheme val="minor"/>
    </font>
    <font>
      <sz val="9"/>
      <color theme="0"/>
      <name val="Segoe UI Black"/>
      <family val="2"/>
    </font>
    <font>
      <b/>
      <sz val="9"/>
      <color theme="0"/>
      <name val="Segoe UI Black"/>
      <family val="2"/>
    </font>
    <font>
      <b/>
      <sz val="11"/>
      <color rgb="FF9C0006"/>
      <name val="Segoe UI Semibold"/>
      <family val="2"/>
    </font>
    <font>
      <b/>
      <sz val="11"/>
      <color rgb="FF9C5700"/>
      <name val="Segoe UI Semibold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206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8" fillId="8" borderId="0" applyNumberFormat="0" applyBorder="0" applyAlignment="0" applyProtection="0"/>
  </cellStyleXfs>
  <cellXfs count="34">
    <xf numFmtId="0" fontId="0" fillId="0" borderId="0" xfId="0"/>
    <xf numFmtId="0" fontId="0" fillId="3" borderId="0" xfId="0" applyFill="1"/>
    <xf numFmtId="0" fontId="1" fillId="0" borderId="1" xfId="1"/>
    <xf numFmtId="0" fontId="4" fillId="0" borderId="1" xfId="1" applyFont="1"/>
    <xf numFmtId="0" fontId="5" fillId="3" borderId="0" xfId="0" applyFont="1" applyFill="1"/>
    <xf numFmtId="0" fontId="5" fillId="0" borderId="0" xfId="0" applyFont="1"/>
    <xf numFmtId="0" fontId="3" fillId="0" borderId="2" xfId="0" applyFont="1" applyBorder="1" applyAlignment="1">
      <alignment horizontal="right" vertical="center" indent="1"/>
    </xf>
    <xf numFmtId="0" fontId="9" fillId="0" borderId="0" xfId="0" applyFont="1"/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68" fontId="8" fillId="2" borderId="0" xfId="2" applyNumberFormat="1" applyFont="1" applyAlignment="1">
      <alignment horizontal="left" vertical="center"/>
    </xf>
    <xf numFmtId="0" fontId="10" fillId="0" borderId="1" xfId="1" applyFont="1"/>
    <xf numFmtId="0" fontId="2" fillId="2" borderId="2" xfId="2" applyBorder="1" applyAlignment="1" applyProtection="1">
      <alignment horizontal="left" vertical="center"/>
      <protection locked="0"/>
    </xf>
    <xf numFmtId="164" fontId="2" fillId="2" borderId="2" xfId="2" applyNumberFormat="1" applyBorder="1" applyAlignment="1" applyProtection="1">
      <alignment horizontal="left" vertical="center"/>
      <protection locked="0"/>
    </xf>
    <xf numFmtId="14" fontId="2" fillId="2" borderId="2" xfId="2" applyNumberFormat="1" applyBorder="1" applyAlignment="1" applyProtection="1">
      <alignment horizontal="left" vertical="center"/>
      <protection locked="0"/>
    </xf>
    <xf numFmtId="165" fontId="2" fillId="2" borderId="2" xfId="2" applyNumberFormat="1" applyBorder="1" applyAlignment="1" applyProtection="1">
      <alignment horizontal="left" vertical="center"/>
      <protection locked="0"/>
    </xf>
    <xf numFmtId="166" fontId="2" fillId="2" borderId="2" xfId="2" applyNumberFormat="1" applyBorder="1" applyAlignment="1" applyProtection="1">
      <alignment horizontal="left" vertical="center"/>
      <protection locked="0"/>
    </xf>
    <xf numFmtId="167" fontId="2" fillId="2" borderId="2" xfId="2" applyNumberFormat="1" applyBorder="1" applyAlignment="1" applyProtection="1">
      <alignment horizontal="left" vertical="center"/>
      <protection locked="0"/>
    </xf>
    <xf numFmtId="0" fontId="7" fillId="2" borderId="2" xfId="3" applyFill="1" applyBorder="1" applyAlignment="1" applyProtection="1">
      <alignment horizontal="left" vertical="center"/>
      <protection locked="0"/>
    </xf>
    <xf numFmtId="0" fontId="8" fillId="2" borderId="4" xfId="2" applyFont="1" applyBorder="1" applyAlignment="1" applyProtection="1">
      <alignment horizontal="left" vertical="center"/>
      <protection locked="0"/>
    </xf>
    <xf numFmtId="168" fontId="8" fillId="2" borderId="4" xfId="2" applyNumberFormat="1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8" fontId="12" fillId="0" borderId="0" xfId="0" applyNumberFormat="1" applyFont="1" applyAlignment="1" applyProtection="1">
      <alignment horizontal="center" vertical="center"/>
      <protection locked="0"/>
    </xf>
    <xf numFmtId="0" fontId="14" fillId="5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168" fontId="16" fillId="6" borderId="0" xfId="4" applyNumberFormat="1" applyFont="1"/>
    <xf numFmtId="168" fontId="17" fillId="2" borderId="0" xfId="2" applyNumberFormat="1" applyFont="1"/>
    <xf numFmtId="0" fontId="6" fillId="4" borderId="3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11" fillId="5" borderId="0" xfId="0" applyFont="1" applyFill="1" applyAlignment="1">
      <alignment horizontal="center"/>
    </xf>
    <xf numFmtId="168" fontId="20" fillId="8" borderId="0" xfId="5" applyNumberFormat="1" applyFont="1"/>
    <xf numFmtId="168" fontId="19" fillId="0" borderId="0" xfId="0" applyNumberFormat="1" applyFont="1"/>
  </cellXfs>
  <cellStyles count="6">
    <cellStyle name="20% - Ênfase1" xfId="5" builtinId="30"/>
    <cellStyle name="Hiperlink" xfId="3" builtinId="8"/>
    <cellStyle name="Neutro" xfId="2" builtinId="28"/>
    <cellStyle name="Normal" xfId="0" builtinId="0"/>
    <cellStyle name="Ruim" xfId="4" builtinId="27"/>
    <cellStyle name="Título 1" xfId="1" builtinId="16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4" tint="-0.249977111117893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4" tint="-0.249977111117893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4" tint="-0.249977111117893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3399F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0"/><Relationship Id="rId7" Type="http://schemas.openxmlformats.org/officeDocument/2006/relationships/hyperlink" Target="#INFORMES!D9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sandro-vasconcellos-084296346/" TargetMode="External"/><Relationship Id="rId6" Type="http://schemas.openxmlformats.org/officeDocument/2006/relationships/image" Target="../media/image2.png"/><Relationship Id="rId5" Type="http://schemas.openxmlformats.org/officeDocument/2006/relationships/hyperlink" Target="#TITULAR!D7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0"/><Relationship Id="rId7" Type="http://schemas.openxmlformats.org/officeDocument/2006/relationships/hyperlink" Target="#TITULAR!D7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sandro-vasconcellos-084296346/" TargetMode="External"/><Relationship Id="rId6" Type="http://schemas.openxmlformats.org/officeDocument/2006/relationships/image" Target="../media/image2.png"/><Relationship Id="rId5" Type="http://schemas.openxmlformats.org/officeDocument/2006/relationships/hyperlink" Target="#TITULAR!C1"/><Relationship Id="rId4" Type="http://schemas.openxmlformats.org/officeDocument/2006/relationships/hyperlink" Target="#INFORMES!D9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D9"/><Relationship Id="rId3" Type="http://schemas.openxmlformats.org/officeDocument/2006/relationships/hyperlink" Target="#NOTAS!C1"/><Relationship Id="rId7" Type="http://schemas.openxmlformats.org/officeDocument/2006/relationships/hyperlink" Target="#TITULAR!C7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sandro-vasconcellos-084296346/" TargetMode="External"/><Relationship Id="rId6" Type="http://schemas.openxmlformats.org/officeDocument/2006/relationships/image" Target="../media/image2.png"/><Relationship Id="rId5" Type="http://schemas.openxmlformats.org/officeDocument/2006/relationships/hyperlink" Target="#TITULAR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66674</xdr:colOff>
      <xdr:row>27</xdr:row>
      <xdr:rowOff>171450</xdr:rowOff>
    </xdr:from>
    <xdr:to>
      <xdr:col>0</xdr:col>
      <xdr:colOff>2324099</xdr:colOff>
      <xdr:row>30</xdr:row>
      <xdr:rowOff>123826</xdr:rowOff>
    </xdr:to>
    <xdr:sp macro="" textlink="">
      <xdr:nvSpPr>
        <xdr:cNvPr id="11" name="by sandro vasconcellos">
          <a:extLst>
            <a:ext uri="{FF2B5EF4-FFF2-40B4-BE49-F238E27FC236}">
              <a16:creationId xmlns:a16="http://schemas.microsoft.com/office/drawing/2014/main" id="{816F6551-D60A-3D53-0F83-5EF0DE77B10B}"/>
            </a:ext>
          </a:extLst>
        </xdr:cNvPr>
        <xdr:cNvSpPr/>
      </xdr:nvSpPr>
      <xdr:spPr>
        <a:xfrm>
          <a:off x="66674" y="5876925"/>
          <a:ext cx="2257425" cy="52387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💢SYSTEM</a:t>
          </a:r>
          <a:r>
            <a:rPr lang="pt-BR" sz="1000" baseline="0">
              <a:latin typeface="Segoe UI" panose="020B0502040204020203" pitchFamily="34" charset="0"/>
              <a:cs typeface="Segoe UI" panose="020B0502040204020203" pitchFamily="34" charset="0"/>
            </a:rPr>
            <a:t> BY SANDRO VASCONCELLOS</a:t>
          </a:r>
          <a:endParaRPr lang="pt-BR" sz="1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180975</xdr:colOff>
      <xdr:row>27</xdr:row>
      <xdr:rowOff>114300</xdr:rowOff>
    </xdr:from>
    <xdr:to>
      <xdr:col>0</xdr:col>
      <xdr:colOff>2257425</xdr:colOff>
      <xdr:row>27</xdr:row>
      <xdr:rowOff>123825</xdr:rowOff>
    </xdr:to>
    <xdr:cxnSp macro="">
      <xdr:nvCxnSpPr>
        <xdr:cNvPr id="13" name="linha">
          <a:extLst>
            <a:ext uri="{FF2B5EF4-FFF2-40B4-BE49-F238E27FC236}">
              <a16:creationId xmlns:a16="http://schemas.microsoft.com/office/drawing/2014/main" id="{9262A588-A5CC-3CA1-5DAC-8686C8D781F9}"/>
            </a:ext>
          </a:extLst>
        </xdr:cNvPr>
        <xdr:cNvCxnSpPr/>
      </xdr:nvCxnSpPr>
      <xdr:spPr>
        <a:xfrm flipV="1">
          <a:off x="180975" y="5819775"/>
          <a:ext cx="2076450" cy="9525"/>
        </a:xfrm>
        <a:prstGeom prst="line">
          <a:avLst/>
        </a:prstGeom>
        <a:ln>
          <a:solidFill>
            <a:schemeClr val="accent1">
              <a:lumMod val="60000"/>
              <a:lumOff val="40000"/>
            </a:schemeClr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22</xdr:row>
      <xdr:rowOff>19050</xdr:rowOff>
    </xdr:from>
    <xdr:to>
      <xdr:col>0</xdr:col>
      <xdr:colOff>1523921</xdr:colOff>
      <xdr:row>25</xdr:row>
      <xdr:rowOff>82471</xdr:rowOff>
    </xdr:to>
    <xdr:pic>
      <xdr:nvPicPr>
        <xdr:cNvPr id="15" name="linkedin-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FB341-C045-422F-B821-E2E8D67D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4191000"/>
          <a:ext cx="634921" cy="634921"/>
        </a:xfrm>
        <a:prstGeom prst="rect">
          <a:avLst/>
        </a:prstGeom>
        <a:effectLst>
          <a:glow rad="139700">
            <a:schemeClr val="bg1">
              <a:alpha val="92000"/>
            </a:schemeClr>
          </a:glow>
        </a:effectLst>
      </xdr:spPr>
    </xdr:pic>
    <xdr:clientData/>
  </xdr:twoCellAnchor>
  <xdr:twoCellAnchor editAs="absolute">
    <xdr:from>
      <xdr:col>0</xdr:col>
      <xdr:colOff>138113</xdr:colOff>
      <xdr:row>14</xdr:row>
      <xdr:rowOff>66675</xdr:rowOff>
    </xdr:from>
    <xdr:to>
      <xdr:col>0</xdr:col>
      <xdr:colOff>2205038</xdr:colOff>
      <xdr:row>16</xdr:row>
      <xdr:rowOff>133350</xdr:rowOff>
    </xdr:to>
    <xdr:sp macro="" textlink="">
      <xdr:nvSpPr>
        <xdr:cNvPr id="10" name="bt-nota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9DBED0-CC73-10BB-A1C1-0C97BF4D7500}"/>
            </a:ext>
          </a:extLst>
        </xdr:cNvPr>
        <xdr:cNvSpPr/>
      </xdr:nvSpPr>
      <xdr:spPr>
        <a:xfrm>
          <a:off x="138113" y="3181350"/>
          <a:ext cx="2066925" cy="485775"/>
        </a:xfrm>
        <a:prstGeom prst="round2DiagRect">
          <a:avLst>
            <a:gd name="adj1" fmla="val 50000"/>
            <a:gd name="adj2" fmla="val 0"/>
          </a:avLst>
        </a:prstGeom>
        <a:noFill/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138113</xdr:colOff>
      <xdr:row>11</xdr:row>
      <xdr:rowOff>61913</xdr:rowOff>
    </xdr:from>
    <xdr:to>
      <xdr:col>0</xdr:col>
      <xdr:colOff>2205038</xdr:colOff>
      <xdr:row>13</xdr:row>
      <xdr:rowOff>128588</xdr:rowOff>
    </xdr:to>
    <xdr:sp macro="" textlink="">
      <xdr:nvSpPr>
        <xdr:cNvPr id="9" name="bt-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B59C87-0024-5ACF-2CA5-448192DC00E8}"/>
            </a:ext>
          </a:extLst>
        </xdr:cNvPr>
        <xdr:cNvSpPr/>
      </xdr:nvSpPr>
      <xdr:spPr>
        <a:xfrm>
          <a:off x="138113" y="2547938"/>
          <a:ext cx="2066925" cy="485775"/>
        </a:xfrm>
        <a:prstGeom prst="round2DiagRect">
          <a:avLst>
            <a:gd name="adj1" fmla="val 50000"/>
            <a:gd name="adj2" fmla="val 0"/>
          </a:avLst>
        </a:prstGeom>
        <a:noFill/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138113</xdr:colOff>
      <xdr:row>8</xdr:row>
      <xdr:rowOff>57150</xdr:rowOff>
    </xdr:from>
    <xdr:to>
      <xdr:col>0</xdr:col>
      <xdr:colOff>2205038</xdr:colOff>
      <xdr:row>10</xdr:row>
      <xdr:rowOff>123825</xdr:rowOff>
    </xdr:to>
    <xdr:sp macro="" textlink="">
      <xdr:nvSpPr>
        <xdr:cNvPr id="6" name="bt-titula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2C8DA3F-0095-3F29-0E12-CBEE16542DCC}"/>
            </a:ext>
          </a:extLst>
        </xdr:cNvPr>
        <xdr:cNvSpPr/>
      </xdr:nvSpPr>
      <xdr:spPr>
        <a:xfrm>
          <a:off x="138113" y="1914525"/>
          <a:ext cx="2066925" cy="485775"/>
        </a:xfrm>
        <a:prstGeom prst="round2DiagRect">
          <a:avLst>
            <a:gd name="adj1" fmla="val 50000"/>
            <a:gd name="adj2" fmla="val 0"/>
          </a:avLst>
        </a:prstGeom>
        <a:gradFill flip="none" rotWithShape="1">
          <a:gsLst>
            <a:gs pos="21000">
              <a:schemeClr val="accent1">
                <a:lumMod val="45000"/>
                <a:lumOff val="55000"/>
              </a:schemeClr>
            </a:gs>
            <a:gs pos="93000">
              <a:schemeClr val="tx2">
                <a:lumMod val="75000"/>
                <a:lumOff val="2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640842</xdr:colOff>
      <xdr:row>2</xdr:row>
      <xdr:rowOff>180975</xdr:rowOff>
    </xdr:from>
    <xdr:to>
      <xdr:col>0</xdr:col>
      <xdr:colOff>1740408</xdr:colOff>
      <xdr:row>6</xdr:row>
      <xdr:rowOff>180976</xdr:rowOff>
    </xdr:to>
    <xdr:pic>
      <xdr:nvPicPr>
        <xdr:cNvPr id="3" name="icon-app">
          <a:extLst>
            <a:ext uri="{FF2B5EF4-FFF2-40B4-BE49-F238E27FC236}">
              <a16:creationId xmlns:a16="http://schemas.microsoft.com/office/drawing/2014/main" id="{5CAAB3A8-1949-32EE-5B37-ADCECF3F4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17" t="8089" r="17216" b="8640"/>
        <a:stretch>
          <a:fillRect/>
        </a:stretch>
      </xdr:blipFill>
      <xdr:spPr>
        <a:xfrm>
          <a:off x="640842" y="561975"/>
          <a:ext cx="1099566" cy="1057276"/>
        </a:xfrm>
        <a:prstGeom prst="rect">
          <a:avLst/>
        </a:prstGeom>
        <a:effectLst>
          <a:outerShdw blurRad="101600" dir="5400000" sx="103000" sy="103000" algn="ctr" rotWithShape="0">
            <a:schemeClr val="bg1"/>
          </a:outerShdw>
        </a:effectLst>
      </xdr:spPr>
    </xdr:pic>
    <xdr:clientData/>
  </xdr:twoCellAnchor>
  <xdr:twoCellAnchor editAs="absolute">
    <xdr:from>
      <xdr:col>0</xdr:col>
      <xdr:colOff>28575</xdr:colOff>
      <xdr:row>0</xdr:row>
      <xdr:rowOff>95251</xdr:rowOff>
    </xdr:from>
    <xdr:to>
      <xdr:col>0</xdr:col>
      <xdr:colOff>2352674</xdr:colOff>
      <xdr:row>2</xdr:row>
      <xdr:rowOff>133351</xdr:rowOff>
    </xdr:to>
    <xdr:sp macro="" textlink="">
      <xdr:nvSpPr>
        <xdr:cNvPr id="4" name="Título">
          <a:extLst>
            <a:ext uri="{FF2B5EF4-FFF2-40B4-BE49-F238E27FC236}">
              <a16:creationId xmlns:a16="http://schemas.microsoft.com/office/drawing/2014/main" id="{7D85B738-7E4D-19F2-350A-2D59BFDD3088}"/>
            </a:ext>
          </a:extLst>
        </xdr:cNvPr>
        <xdr:cNvSpPr/>
      </xdr:nvSpPr>
      <xdr:spPr>
        <a:xfrm>
          <a:off x="28575" y="95251"/>
          <a:ext cx="2324099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50">
              <a:latin typeface="Arial Black" panose="020B0A04020102020204" pitchFamily="34" charset="0"/>
            </a:rPr>
            <a:t>ONLINE</a:t>
          </a:r>
          <a:r>
            <a:rPr lang="pt-BR" sz="1450" baseline="0">
              <a:latin typeface="Arial Black" panose="020B0A04020102020204" pitchFamily="34" charset="0"/>
            </a:rPr>
            <a:t> INFORME IR</a:t>
          </a:r>
          <a:endParaRPr lang="pt-BR" sz="145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3</xdr:col>
      <xdr:colOff>76200</xdr:colOff>
      <xdr:row>20</xdr:row>
      <xdr:rowOff>133350</xdr:rowOff>
    </xdr:from>
    <xdr:to>
      <xdr:col>4</xdr:col>
      <xdr:colOff>38100</xdr:colOff>
      <xdr:row>22</xdr:row>
      <xdr:rowOff>142875</xdr:rowOff>
    </xdr:to>
    <xdr:sp macro="" textlink="">
      <xdr:nvSpPr>
        <xdr:cNvPr id="16" name="Retângulo: Cantos Arredondado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D41085-04F1-DE5A-3A45-4C586B6A0E84}"/>
            </a:ext>
          </a:extLst>
        </xdr:cNvPr>
        <xdr:cNvSpPr/>
      </xdr:nvSpPr>
      <xdr:spPr>
        <a:xfrm>
          <a:off x="5848350" y="4505325"/>
          <a:ext cx="2857500" cy="39052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66674</xdr:colOff>
      <xdr:row>30</xdr:row>
      <xdr:rowOff>9525</xdr:rowOff>
    </xdr:from>
    <xdr:to>
      <xdr:col>0</xdr:col>
      <xdr:colOff>2324099</xdr:colOff>
      <xdr:row>32</xdr:row>
      <xdr:rowOff>152401</xdr:rowOff>
    </xdr:to>
    <xdr:sp macro="" textlink="">
      <xdr:nvSpPr>
        <xdr:cNvPr id="2" name="by sandro vasconcellos">
          <a:extLst>
            <a:ext uri="{FF2B5EF4-FFF2-40B4-BE49-F238E27FC236}">
              <a16:creationId xmlns:a16="http://schemas.microsoft.com/office/drawing/2014/main" id="{BF252C26-6930-4B40-9AC0-BCB3CE16936B}"/>
            </a:ext>
          </a:extLst>
        </xdr:cNvPr>
        <xdr:cNvSpPr/>
      </xdr:nvSpPr>
      <xdr:spPr>
        <a:xfrm>
          <a:off x="66674" y="5876925"/>
          <a:ext cx="2257425" cy="52387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💢SYSTEM</a:t>
          </a:r>
          <a:r>
            <a:rPr lang="pt-BR" sz="1000" baseline="0">
              <a:latin typeface="Segoe UI" panose="020B0502040204020203" pitchFamily="34" charset="0"/>
              <a:cs typeface="Segoe UI" panose="020B0502040204020203" pitchFamily="34" charset="0"/>
            </a:rPr>
            <a:t> BY SANDRO VASCONCELLOS</a:t>
          </a:r>
          <a:endParaRPr lang="pt-BR" sz="1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180975</xdr:colOff>
      <xdr:row>29</xdr:row>
      <xdr:rowOff>142875</xdr:rowOff>
    </xdr:from>
    <xdr:to>
      <xdr:col>0</xdr:col>
      <xdr:colOff>2257425</xdr:colOff>
      <xdr:row>29</xdr:row>
      <xdr:rowOff>152400</xdr:rowOff>
    </xdr:to>
    <xdr:cxnSp macro="">
      <xdr:nvCxnSpPr>
        <xdr:cNvPr id="3" name="linha">
          <a:extLst>
            <a:ext uri="{FF2B5EF4-FFF2-40B4-BE49-F238E27FC236}">
              <a16:creationId xmlns:a16="http://schemas.microsoft.com/office/drawing/2014/main" id="{1AEE6F4F-C1F6-4124-A866-CBE50A0BEA20}"/>
            </a:ext>
          </a:extLst>
        </xdr:cNvPr>
        <xdr:cNvCxnSpPr/>
      </xdr:nvCxnSpPr>
      <xdr:spPr>
        <a:xfrm flipV="1">
          <a:off x="180975" y="5819775"/>
          <a:ext cx="2076450" cy="9525"/>
        </a:xfrm>
        <a:prstGeom prst="line">
          <a:avLst/>
        </a:prstGeom>
        <a:ln>
          <a:solidFill>
            <a:schemeClr val="accent1">
              <a:lumMod val="60000"/>
              <a:lumOff val="40000"/>
            </a:schemeClr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24</xdr:row>
      <xdr:rowOff>47625</xdr:rowOff>
    </xdr:from>
    <xdr:to>
      <xdr:col>0</xdr:col>
      <xdr:colOff>1523921</xdr:colOff>
      <xdr:row>27</xdr:row>
      <xdr:rowOff>111046</xdr:rowOff>
    </xdr:to>
    <xdr:pic>
      <xdr:nvPicPr>
        <xdr:cNvPr id="4" name="linkedin-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84406-74FF-4E9D-B675-A32827F78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4772025"/>
          <a:ext cx="634921" cy="634921"/>
        </a:xfrm>
        <a:prstGeom prst="rect">
          <a:avLst/>
        </a:prstGeom>
        <a:effectLst>
          <a:glow rad="139700">
            <a:schemeClr val="bg1">
              <a:alpha val="92000"/>
            </a:schemeClr>
          </a:glow>
        </a:effectLst>
      </xdr:spPr>
    </xdr:pic>
    <xdr:clientData/>
  </xdr:twoCellAnchor>
  <xdr:twoCellAnchor editAs="absolute">
    <xdr:from>
      <xdr:col>0</xdr:col>
      <xdr:colOff>138113</xdr:colOff>
      <xdr:row>15</xdr:row>
      <xdr:rowOff>171450</xdr:rowOff>
    </xdr:from>
    <xdr:to>
      <xdr:col>0</xdr:col>
      <xdr:colOff>2205038</xdr:colOff>
      <xdr:row>18</xdr:row>
      <xdr:rowOff>85725</xdr:rowOff>
    </xdr:to>
    <xdr:sp macro="" textlink="">
      <xdr:nvSpPr>
        <xdr:cNvPr id="5" name="bt-nota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8D1190-031E-4C48-B2E2-CCB235EF1B43}"/>
            </a:ext>
          </a:extLst>
        </xdr:cNvPr>
        <xdr:cNvSpPr/>
      </xdr:nvSpPr>
      <xdr:spPr>
        <a:xfrm>
          <a:off x="138113" y="3181350"/>
          <a:ext cx="2066925" cy="485775"/>
        </a:xfrm>
        <a:prstGeom prst="round2DiagRect">
          <a:avLst>
            <a:gd name="adj1" fmla="val 50000"/>
            <a:gd name="adj2" fmla="val 0"/>
          </a:avLst>
        </a:prstGeom>
        <a:noFill/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138113</xdr:colOff>
      <xdr:row>12</xdr:row>
      <xdr:rowOff>109538</xdr:rowOff>
    </xdr:from>
    <xdr:to>
      <xdr:col>0</xdr:col>
      <xdr:colOff>2205038</xdr:colOff>
      <xdr:row>15</xdr:row>
      <xdr:rowOff>23813</xdr:rowOff>
    </xdr:to>
    <xdr:sp macro="" textlink="">
      <xdr:nvSpPr>
        <xdr:cNvPr id="6" name="bt-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C47D0C-55AA-4D85-A28A-423C0A1D4153}"/>
            </a:ext>
          </a:extLst>
        </xdr:cNvPr>
        <xdr:cNvSpPr/>
      </xdr:nvSpPr>
      <xdr:spPr>
        <a:xfrm>
          <a:off x="138113" y="2547938"/>
          <a:ext cx="2066925" cy="485775"/>
        </a:xfrm>
        <a:prstGeom prst="round2DiagRect">
          <a:avLst>
            <a:gd name="adj1" fmla="val 50000"/>
            <a:gd name="adj2" fmla="val 0"/>
          </a:avLst>
        </a:prstGeom>
        <a:gradFill flip="none" rotWithShape="1">
          <a:gsLst>
            <a:gs pos="0">
              <a:schemeClr val="tx2">
                <a:lumMod val="50000"/>
                <a:lumOff val="50000"/>
                <a:shade val="30000"/>
                <a:satMod val="115000"/>
              </a:schemeClr>
            </a:gs>
            <a:gs pos="50000">
              <a:schemeClr val="tx2">
                <a:lumMod val="50000"/>
                <a:lumOff val="50000"/>
                <a:shade val="67500"/>
                <a:satMod val="115000"/>
              </a:schemeClr>
            </a:gs>
            <a:gs pos="100000">
              <a:schemeClr val="tx2">
                <a:lumMod val="50000"/>
                <a:lumOff val="50000"/>
                <a:shade val="100000"/>
                <a:satMod val="115000"/>
              </a:schemeClr>
            </a:gs>
          </a:gsLst>
          <a:lin ang="10800000" scaled="1"/>
          <a:tileRect/>
        </a:gra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138113</xdr:colOff>
      <xdr:row>9</xdr:row>
      <xdr:rowOff>47625</xdr:rowOff>
    </xdr:from>
    <xdr:to>
      <xdr:col>0</xdr:col>
      <xdr:colOff>2205038</xdr:colOff>
      <xdr:row>11</xdr:row>
      <xdr:rowOff>152400</xdr:rowOff>
    </xdr:to>
    <xdr:sp macro="" textlink="">
      <xdr:nvSpPr>
        <xdr:cNvPr id="7" name="bt-titula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54FFAF-F0AE-43D5-9E93-10D0990F94A9}"/>
            </a:ext>
          </a:extLst>
        </xdr:cNvPr>
        <xdr:cNvSpPr/>
      </xdr:nvSpPr>
      <xdr:spPr>
        <a:xfrm>
          <a:off x="138113" y="1914525"/>
          <a:ext cx="2066925" cy="485775"/>
        </a:xfrm>
        <a:prstGeom prst="round2DiagRect">
          <a:avLst>
            <a:gd name="adj1" fmla="val 50000"/>
            <a:gd name="adj2" fmla="val 0"/>
          </a:avLst>
        </a:prstGeom>
        <a:noFill/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640842</xdr:colOff>
      <xdr:row>2</xdr:row>
      <xdr:rowOff>180975</xdr:rowOff>
    </xdr:from>
    <xdr:to>
      <xdr:col>0</xdr:col>
      <xdr:colOff>1740408</xdr:colOff>
      <xdr:row>7</xdr:row>
      <xdr:rowOff>133351</xdr:rowOff>
    </xdr:to>
    <xdr:pic>
      <xdr:nvPicPr>
        <xdr:cNvPr id="8" name="icon-app">
          <a:extLst>
            <a:ext uri="{FF2B5EF4-FFF2-40B4-BE49-F238E27FC236}">
              <a16:creationId xmlns:a16="http://schemas.microsoft.com/office/drawing/2014/main" id="{9BC96CDC-4BA0-4D7D-BDAA-A5B5860CA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17" t="8089" r="17216" b="8640"/>
        <a:stretch>
          <a:fillRect/>
        </a:stretch>
      </xdr:blipFill>
      <xdr:spPr>
        <a:xfrm>
          <a:off x="640842" y="561975"/>
          <a:ext cx="1099566" cy="1057276"/>
        </a:xfrm>
        <a:prstGeom prst="rect">
          <a:avLst/>
        </a:prstGeom>
        <a:effectLst>
          <a:outerShdw blurRad="101600" dir="5400000" sx="103000" sy="103000" algn="ctr" rotWithShape="0">
            <a:schemeClr val="bg1"/>
          </a:outerShdw>
        </a:effectLst>
      </xdr:spPr>
    </xdr:pic>
    <xdr:clientData/>
  </xdr:twoCellAnchor>
  <xdr:twoCellAnchor editAs="absolute">
    <xdr:from>
      <xdr:col>0</xdr:col>
      <xdr:colOff>28575</xdr:colOff>
      <xdr:row>0</xdr:row>
      <xdr:rowOff>95251</xdr:rowOff>
    </xdr:from>
    <xdr:to>
      <xdr:col>0</xdr:col>
      <xdr:colOff>2352674</xdr:colOff>
      <xdr:row>2</xdr:row>
      <xdr:rowOff>133351</xdr:rowOff>
    </xdr:to>
    <xdr:sp macro="" textlink="">
      <xdr:nvSpPr>
        <xdr:cNvPr id="9" name="Título">
          <a:extLst>
            <a:ext uri="{FF2B5EF4-FFF2-40B4-BE49-F238E27FC236}">
              <a16:creationId xmlns:a16="http://schemas.microsoft.com/office/drawing/2014/main" id="{E1A26634-2544-444C-8C8B-888DFC1DBE78}"/>
            </a:ext>
          </a:extLst>
        </xdr:cNvPr>
        <xdr:cNvSpPr/>
      </xdr:nvSpPr>
      <xdr:spPr>
        <a:xfrm>
          <a:off x="28575" y="95251"/>
          <a:ext cx="2324099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50">
              <a:latin typeface="Arial Black" panose="020B0A04020102020204" pitchFamily="34" charset="0"/>
            </a:rPr>
            <a:t>ONLINE</a:t>
          </a:r>
          <a:r>
            <a:rPr lang="pt-BR" sz="1450" baseline="0">
              <a:latin typeface="Arial Black" panose="020B0A04020102020204" pitchFamily="34" charset="0"/>
            </a:rPr>
            <a:t> INFORME IR</a:t>
          </a:r>
          <a:endParaRPr lang="pt-BR" sz="145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3</xdr:col>
      <xdr:colOff>95250</xdr:colOff>
      <xdr:row>22</xdr:row>
      <xdr:rowOff>57150</xdr:rowOff>
    </xdr:from>
    <xdr:to>
      <xdr:col>4</xdr:col>
      <xdr:colOff>57150</xdr:colOff>
      <xdr:row>24</xdr:row>
      <xdr:rowOff>66675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0D5766-1CF4-4538-9299-5241E04832D8}"/>
            </a:ext>
          </a:extLst>
        </xdr:cNvPr>
        <xdr:cNvSpPr/>
      </xdr:nvSpPr>
      <xdr:spPr>
        <a:xfrm>
          <a:off x="5867400" y="4400550"/>
          <a:ext cx="2857500" cy="39052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  <xdr:twoCellAnchor editAs="absolute">
    <xdr:from>
      <xdr:col>1</xdr:col>
      <xdr:colOff>476250</xdr:colOff>
      <xdr:row>22</xdr:row>
      <xdr:rowOff>66675</xdr:rowOff>
    </xdr:from>
    <xdr:to>
      <xdr:col>3</xdr:col>
      <xdr:colOff>47625</xdr:colOff>
      <xdr:row>24</xdr:row>
      <xdr:rowOff>76200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7D3774-5955-EF78-FD16-03AC4CB486EB}"/>
            </a:ext>
          </a:extLst>
        </xdr:cNvPr>
        <xdr:cNvSpPr/>
      </xdr:nvSpPr>
      <xdr:spPr>
        <a:xfrm>
          <a:off x="2867025" y="4410075"/>
          <a:ext cx="2952750" cy="39052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66674</xdr:colOff>
      <xdr:row>27</xdr:row>
      <xdr:rowOff>200025</xdr:rowOff>
    </xdr:from>
    <xdr:to>
      <xdr:col>0</xdr:col>
      <xdr:colOff>2324099</xdr:colOff>
      <xdr:row>30</xdr:row>
      <xdr:rowOff>92243</xdr:rowOff>
    </xdr:to>
    <xdr:sp macro="" textlink="">
      <xdr:nvSpPr>
        <xdr:cNvPr id="2" name="by sandro vasconcellos">
          <a:extLst>
            <a:ext uri="{FF2B5EF4-FFF2-40B4-BE49-F238E27FC236}">
              <a16:creationId xmlns:a16="http://schemas.microsoft.com/office/drawing/2014/main" id="{D46BA3E0-2841-437A-B3E3-FFE496CAAEC2}"/>
            </a:ext>
          </a:extLst>
        </xdr:cNvPr>
        <xdr:cNvSpPr/>
      </xdr:nvSpPr>
      <xdr:spPr>
        <a:xfrm>
          <a:off x="66674" y="5876925"/>
          <a:ext cx="2257425" cy="52387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💢SYSTEM</a:t>
          </a:r>
          <a:r>
            <a:rPr lang="pt-BR" sz="1000" baseline="0">
              <a:latin typeface="Segoe UI" panose="020B0502040204020203" pitchFamily="34" charset="0"/>
              <a:cs typeface="Segoe UI" panose="020B0502040204020203" pitchFamily="34" charset="0"/>
            </a:rPr>
            <a:t> BY SANDRO VASCONCELLOS</a:t>
          </a:r>
          <a:endParaRPr lang="pt-BR" sz="1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180975</xdr:colOff>
      <xdr:row>27</xdr:row>
      <xdr:rowOff>142875</xdr:rowOff>
    </xdr:from>
    <xdr:to>
      <xdr:col>0</xdr:col>
      <xdr:colOff>2257425</xdr:colOff>
      <xdr:row>27</xdr:row>
      <xdr:rowOff>152400</xdr:rowOff>
    </xdr:to>
    <xdr:cxnSp macro="">
      <xdr:nvCxnSpPr>
        <xdr:cNvPr id="3" name="linha">
          <a:extLst>
            <a:ext uri="{FF2B5EF4-FFF2-40B4-BE49-F238E27FC236}">
              <a16:creationId xmlns:a16="http://schemas.microsoft.com/office/drawing/2014/main" id="{B00967E6-8DF7-45B4-995B-5A53C86D5E57}"/>
            </a:ext>
          </a:extLst>
        </xdr:cNvPr>
        <xdr:cNvCxnSpPr/>
      </xdr:nvCxnSpPr>
      <xdr:spPr>
        <a:xfrm flipV="1">
          <a:off x="180975" y="5819775"/>
          <a:ext cx="2076450" cy="9525"/>
        </a:xfrm>
        <a:prstGeom prst="line">
          <a:avLst/>
        </a:prstGeom>
        <a:ln>
          <a:solidFill>
            <a:schemeClr val="accent1">
              <a:lumMod val="60000"/>
              <a:lumOff val="40000"/>
            </a:schemeClr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22</xdr:row>
      <xdr:rowOff>147888</xdr:rowOff>
    </xdr:from>
    <xdr:to>
      <xdr:col>0</xdr:col>
      <xdr:colOff>1523921</xdr:colOff>
      <xdr:row>25</xdr:row>
      <xdr:rowOff>151152</xdr:rowOff>
    </xdr:to>
    <xdr:pic>
      <xdr:nvPicPr>
        <xdr:cNvPr id="4" name="linkedin-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548BF-2D4B-4077-82C2-B83FF15F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4772025"/>
          <a:ext cx="634921" cy="634921"/>
        </a:xfrm>
        <a:prstGeom prst="rect">
          <a:avLst/>
        </a:prstGeom>
        <a:effectLst>
          <a:glow rad="139700">
            <a:schemeClr val="bg1">
              <a:alpha val="92000"/>
            </a:schemeClr>
          </a:glow>
        </a:effectLst>
      </xdr:spPr>
    </xdr:pic>
    <xdr:clientData/>
  </xdr:twoCellAnchor>
  <xdr:twoCellAnchor editAs="absolute">
    <xdr:from>
      <xdr:col>0</xdr:col>
      <xdr:colOff>138113</xdr:colOff>
      <xdr:row>15</xdr:row>
      <xdr:rowOff>31082</xdr:rowOff>
    </xdr:from>
    <xdr:to>
      <xdr:col>0</xdr:col>
      <xdr:colOff>2205038</xdr:colOff>
      <xdr:row>17</xdr:row>
      <xdr:rowOff>95752</xdr:rowOff>
    </xdr:to>
    <xdr:sp macro="" textlink="">
      <xdr:nvSpPr>
        <xdr:cNvPr id="5" name="bt-nota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85A417-5E31-409B-8D69-41754E7994B7}"/>
            </a:ext>
          </a:extLst>
        </xdr:cNvPr>
        <xdr:cNvSpPr/>
      </xdr:nvSpPr>
      <xdr:spPr>
        <a:xfrm>
          <a:off x="138113" y="3181350"/>
          <a:ext cx="2066925" cy="485775"/>
        </a:xfrm>
        <a:prstGeom prst="round2DiagRect">
          <a:avLst>
            <a:gd name="adj1" fmla="val 50000"/>
            <a:gd name="adj2" fmla="val 0"/>
          </a:avLst>
        </a:prstGeom>
        <a:gradFill flip="none" rotWithShape="1">
          <a:gsLst>
            <a:gs pos="0">
              <a:schemeClr val="tx2">
                <a:lumMod val="50000"/>
                <a:lumOff val="50000"/>
                <a:shade val="30000"/>
                <a:satMod val="115000"/>
              </a:schemeClr>
            </a:gs>
            <a:gs pos="50000">
              <a:schemeClr val="tx2">
                <a:lumMod val="50000"/>
                <a:lumOff val="50000"/>
                <a:shade val="67500"/>
                <a:satMod val="115000"/>
              </a:schemeClr>
            </a:gs>
            <a:gs pos="100000">
              <a:schemeClr val="tx2">
                <a:lumMod val="50000"/>
                <a:lumOff val="50000"/>
                <a:shade val="100000"/>
                <a:satMod val="115000"/>
              </a:schemeClr>
            </a:gs>
          </a:gsLst>
          <a:lin ang="10800000" scaled="1"/>
          <a:tileRect/>
        </a:gra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138113</xdr:colOff>
      <xdr:row>12</xdr:row>
      <xdr:rowOff>29328</xdr:rowOff>
    </xdr:from>
    <xdr:to>
      <xdr:col>0</xdr:col>
      <xdr:colOff>2205038</xdr:colOff>
      <xdr:row>14</xdr:row>
      <xdr:rowOff>93997</xdr:rowOff>
    </xdr:to>
    <xdr:sp macro="" textlink="">
      <xdr:nvSpPr>
        <xdr:cNvPr id="6" name="bt-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4BCEFD-D5C6-45FB-A3B8-61AB948D830B}"/>
            </a:ext>
          </a:extLst>
        </xdr:cNvPr>
        <xdr:cNvSpPr/>
      </xdr:nvSpPr>
      <xdr:spPr>
        <a:xfrm>
          <a:off x="138113" y="2547938"/>
          <a:ext cx="2066925" cy="485775"/>
        </a:xfrm>
        <a:prstGeom prst="round2DiagRect">
          <a:avLst>
            <a:gd name="adj1" fmla="val 50000"/>
            <a:gd name="adj2" fmla="val 0"/>
          </a:avLst>
        </a:prstGeom>
        <a:noFill/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138113</xdr:colOff>
      <xdr:row>9</xdr:row>
      <xdr:rowOff>27573</xdr:rowOff>
    </xdr:from>
    <xdr:to>
      <xdr:col>0</xdr:col>
      <xdr:colOff>2205038</xdr:colOff>
      <xdr:row>11</xdr:row>
      <xdr:rowOff>92242</xdr:rowOff>
    </xdr:to>
    <xdr:sp macro="" textlink="">
      <xdr:nvSpPr>
        <xdr:cNvPr id="7" name="bt-titula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EC8A75-EFCD-4B7A-B380-1CDA3FCEDB14}"/>
            </a:ext>
          </a:extLst>
        </xdr:cNvPr>
        <xdr:cNvSpPr/>
      </xdr:nvSpPr>
      <xdr:spPr>
        <a:xfrm>
          <a:off x="138113" y="1914525"/>
          <a:ext cx="2066925" cy="485775"/>
        </a:xfrm>
        <a:prstGeom prst="round2DiagRect">
          <a:avLst>
            <a:gd name="adj1" fmla="val 50000"/>
            <a:gd name="adj2" fmla="val 0"/>
          </a:avLst>
        </a:prstGeom>
        <a:noFill/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640842</xdr:colOff>
      <xdr:row>2</xdr:row>
      <xdr:rowOff>180975</xdr:rowOff>
    </xdr:from>
    <xdr:to>
      <xdr:col>0</xdr:col>
      <xdr:colOff>1740408</xdr:colOff>
      <xdr:row>7</xdr:row>
      <xdr:rowOff>133351</xdr:rowOff>
    </xdr:to>
    <xdr:pic>
      <xdr:nvPicPr>
        <xdr:cNvPr id="8" name="icon-app">
          <a:extLst>
            <a:ext uri="{FF2B5EF4-FFF2-40B4-BE49-F238E27FC236}">
              <a16:creationId xmlns:a16="http://schemas.microsoft.com/office/drawing/2014/main" id="{8A64E6FE-8B52-416B-A610-5B907E45A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17" t="8089" r="17216" b="8640"/>
        <a:stretch>
          <a:fillRect/>
        </a:stretch>
      </xdr:blipFill>
      <xdr:spPr>
        <a:xfrm>
          <a:off x="640842" y="561975"/>
          <a:ext cx="1099566" cy="1057276"/>
        </a:xfrm>
        <a:prstGeom prst="rect">
          <a:avLst/>
        </a:prstGeom>
        <a:effectLst>
          <a:outerShdw blurRad="101600" dir="5400000" sx="103000" sy="103000" algn="ctr" rotWithShape="0">
            <a:schemeClr val="bg1"/>
          </a:outerShdw>
        </a:effectLst>
      </xdr:spPr>
    </xdr:pic>
    <xdr:clientData/>
  </xdr:twoCellAnchor>
  <xdr:twoCellAnchor editAs="absolute">
    <xdr:from>
      <xdr:col>0</xdr:col>
      <xdr:colOff>28575</xdr:colOff>
      <xdr:row>0</xdr:row>
      <xdr:rowOff>95251</xdr:rowOff>
    </xdr:from>
    <xdr:to>
      <xdr:col>0</xdr:col>
      <xdr:colOff>2352674</xdr:colOff>
      <xdr:row>2</xdr:row>
      <xdr:rowOff>133351</xdr:rowOff>
    </xdr:to>
    <xdr:sp macro="" textlink="">
      <xdr:nvSpPr>
        <xdr:cNvPr id="9" name="Título">
          <a:extLst>
            <a:ext uri="{FF2B5EF4-FFF2-40B4-BE49-F238E27FC236}">
              <a16:creationId xmlns:a16="http://schemas.microsoft.com/office/drawing/2014/main" id="{13A44946-6077-482D-BD5D-49C883D6F576}"/>
            </a:ext>
          </a:extLst>
        </xdr:cNvPr>
        <xdr:cNvSpPr/>
      </xdr:nvSpPr>
      <xdr:spPr>
        <a:xfrm>
          <a:off x="28575" y="95251"/>
          <a:ext cx="2324099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50">
              <a:latin typeface="Arial Black" panose="020B0A04020102020204" pitchFamily="34" charset="0"/>
            </a:rPr>
            <a:t>ONLINE</a:t>
          </a:r>
          <a:r>
            <a:rPr lang="pt-BR" sz="1450" baseline="0">
              <a:latin typeface="Arial Black" panose="020B0A04020102020204" pitchFamily="34" charset="0"/>
            </a:rPr>
            <a:t> INFORME IR</a:t>
          </a:r>
          <a:endParaRPr lang="pt-BR" sz="145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4</xdr:col>
      <xdr:colOff>114801</xdr:colOff>
      <xdr:row>5</xdr:row>
      <xdr:rowOff>0</xdr:rowOff>
    </xdr:from>
    <xdr:to>
      <xdr:col>5</xdr:col>
      <xdr:colOff>1233237</xdr:colOff>
      <xdr:row>6</xdr:row>
      <xdr:rowOff>9525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210FE0-4639-480F-A5EB-FDA9872C4818}"/>
            </a:ext>
          </a:extLst>
        </xdr:cNvPr>
        <xdr:cNvSpPr/>
      </xdr:nvSpPr>
      <xdr:spPr>
        <a:xfrm>
          <a:off x="5879933" y="1102895"/>
          <a:ext cx="2787817" cy="20002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 editAs="absolute">
    <xdr:from>
      <xdr:col>2</xdr:col>
      <xdr:colOff>0</xdr:colOff>
      <xdr:row>5</xdr:row>
      <xdr:rowOff>4512</xdr:rowOff>
    </xdr:from>
    <xdr:to>
      <xdr:col>3</xdr:col>
      <xdr:colOff>1707600</xdr:colOff>
      <xdr:row>6</xdr:row>
      <xdr:rowOff>14037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A7805A6-294E-44C0-A6B6-88433706B0FC}"/>
            </a:ext>
          </a:extLst>
        </xdr:cNvPr>
        <xdr:cNvSpPr/>
      </xdr:nvSpPr>
      <xdr:spPr>
        <a:xfrm>
          <a:off x="2877553" y="1107407"/>
          <a:ext cx="2880679" cy="20002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19E94-2D52-41AC-BE17-7B922DE0DDAA}" name="Tabela1" displayName="Tabela1" ref="C9:F60" totalsRowShown="0" headerRowDxfId="7" dataDxfId="6">
  <autoFilter ref="C9:F60" xr:uid="{B1519E94-2D52-41AC-BE17-7B922DE0DDAA}"/>
  <tableColumns count="4">
    <tableColumn id="1" xr3:uid="{8CD165C8-1CF7-4567-8BD2-23957057C784}" name="DATA" dataDxfId="5"/>
    <tableColumn id="2" xr3:uid="{6EF0396C-053B-41A7-BB14-956EFC772C8F}" name="CATERGORIA" dataDxfId="4"/>
    <tableColumn id="4" xr3:uid="{D204FB31-7C58-4C3F-AAAD-36344DAD7CD6}" name="OPERAÇÃO" dataDxfId="3"/>
    <tableColumn id="3" xr3:uid="{4254A639-4E0C-4B16-96B5-A2BCF7E6A4DC}" name="VA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AAD0-50B8-42DA-917A-88CA0B27B854}">
  <sheetPr codeName="Planilha1"/>
  <dimension ref="A1:E20"/>
  <sheetViews>
    <sheetView showGridLines="0" showRowColHeaders="0" tabSelected="1" workbookViewId="0">
      <selection activeCell="D20" sqref="D20"/>
    </sheetView>
  </sheetViews>
  <sheetFormatPr defaultRowHeight="15" x14ac:dyDescent="0.25"/>
  <cols>
    <col min="1" max="1" width="35.85546875" style="1" customWidth="1"/>
    <col min="2" max="2" width="7.28515625" customWidth="1"/>
    <col min="3" max="3" width="43.42578125" bestFit="1" customWidth="1"/>
    <col min="4" max="4" width="43.42578125" customWidth="1"/>
  </cols>
  <sheetData>
    <row r="1" spans="1:5" ht="15" customHeight="1" x14ac:dyDescent="0.25"/>
    <row r="3" spans="1:5" ht="20.25" thickBot="1" x14ac:dyDescent="0.35">
      <c r="C3" s="3" t="s">
        <v>15</v>
      </c>
      <c r="D3" s="2"/>
      <c r="E3" s="2"/>
    </row>
    <row r="4" spans="1:5" ht="21.95" customHeight="1" thickTop="1" x14ac:dyDescent="0.25">
      <c r="C4" s="29" t="s">
        <v>14</v>
      </c>
      <c r="D4" s="30"/>
      <c r="E4" s="30"/>
    </row>
    <row r="5" spans="1:5" ht="26.25" customHeight="1" x14ac:dyDescent="0.25">
      <c r="A5" s="4"/>
      <c r="B5" s="5"/>
    </row>
    <row r="7" spans="1:5" ht="16.5" x14ac:dyDescent="0.25">
      <c r="C7" s="6" t="s">
        <v>0</v>
      </c>
      <c r="D7" s="12" t="s">
        <v>17</v>
      </c>
    </row>
    <row r="8" spans="1:5" ht="16.5" x14ac:dyDescent="0.25">
      <c r="C8" s="6" t="s">
        <v>1</v>
      </c>
      <c r="D8" s="13">
        <v>1083983741</v>
      </c>
    </row>
    <row r="9" spans="1:5" ht="16.5" x14ac:dyDescent="0.25">
      <c r="C9" s="6" t="s">
        <v>2</v>
      </c>
      <c r="D9" s="14">
        <v>26427</v>
      </c>
    </row>
    <row r="10" spans="1:5" ht="16.5" x14ac:dyDescent="0.25">
      <c r="C10" s="6" t="s">
        <v>3</v>
      </c>
      <c r="D10" s="12">
        <v>3245987385</v>
      </c>
    </row>
    <row r="11" spans="1:5" ht="16.5" x14ac:dyDescent="0.25">
      <c r="C11" s="6" t="s">
        <v>4</v>
      </c>
      <c r="D11" s="12" t="s">
        <v>21</v>
      </c>
    </row>
    <row r="12" spans="1:5" ht="16.5" x14ac:dyDescent="0.25">
      <c r="C12" s="6" t="s">
        <v>5</v>
      </c>
      <c r="D12" s="12" t="s">
        <v>20</v>
      </c>
    </row>
    <row r="13" spans="1:5" ht="16.5" x14ac:dyDescent="0.25">
      <c r="C13" s="6" t="s">
        <v>6</v>
      </c>
      <c r="D13" s="12" t="s">
        <v>19</v>
      </c>
    </row>
    <row r="14" spans="1:5" ht="16.5" x14ac:dyDescent="0.25">
      <c r="C14" s="6" t="s">
        <v>7</v>
      </c>
      <c r="D14" s="15">
        <v>65064528</v>
      </c>
    </row>
    <row r="15" spans="1:5" ht="16.5" x14ac:dyDescent="0.25">
      <c r="C15" s="6" t="s">
        <v>8</v>
      </c>
      <c r="D15" s="16">
        <v>1131713388</v>
      </c>
    </row>
    <row r="16" spans="1:5" ht="16.5" x14ac:dyDescent="0.25">
      <c r="C16" s="6" t="s">
        <v>9</v>
      </c>
      <c r="D16" s="17">
        <v>99984318396</v>
      </c>
    </row>
    <row r="17" spans="3:4" ht="16.5" x14ac:dyDescent="0.25">
      <c r="C17" s="6" t="s">
        <v>10</v>
      </c>
      <c r="D17" s="18" t="s">
        <v>18</v>
      </c>
    </row>
    <row r="18" spans="3:4" ht="16.5" x14ac:dyDescent="0.25">
      <c r="C18" s="6" t="s">
        <v>11</v>
      </c>
      <c r="D18" s="12" t="s">
        <v>16</v>
      </c>
    </row>
    <row r="19" spans="3:4" ht="16.5" x14ac:dyDescent="0.25">
      <c r="C19" s="6" t="s">
        <v>12</v>
      </c>
      <c r="D19" s="12" t="s">
        <v>16</v>
      </c>
    </row>
    <row r="20" spans="3:4" ht="16.5" x14ac:dyDescent="0.25">
      <c r="C20" s="6" t="s">
        <v>13</v>
      </c>
      <c r="D20" s="12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053207E1-6E9A-439D-A2E6-05298BE7BF4A}">
      <formula1>"SIM,NÃO"</formula1>
    </dataValidation>
  </dataValidations>
  <hyperlinks>
    <hyperlink ref="D17" r:id="rId1" xr:uid="{CA17A635-2F88-4E48-9D78-7094F7E1BBE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4A34-BA0F-48E7-93F3-3F10A231CEB9}">
  <sheetPr codeName="Planilha2"/>
  <dimension ref="A1:E21"/>
  <sheetViews>
    <sheetView showGridLines="0" showRowColHeaders="0" workbookViewId="0">
      <selection activeCell="D9" sqref="D9"/>
    </sheetView>
  </sheetViews>
  <sheetFormatPr defaultRowHeight="15" x14ac:dyDescent="0.25"/>
  <cols>
    <col min="1" max="1" width="35.85546875" style="1" customWidth="1"/>
    <col min="2" max="2" width="7.28515625" customWidth="1"/>
    <col min="3" max="4" width="43.42578125" customWidth="1"/>
  </cols>
  <sheetData>
    <row r="1" spans="3:5" ht="15" customHeight="1" x14ac:dyDescent="0.25"/>
    <row r="3" spans="3:5" ht="20.25" thickBot="1" x14ac:dyDescent="0.35">
      <c r="C3" s="3" t="s">
        <v>81</v>
      </c>
      <c r="D3" s="2"/>
      <c r="E3" s="2"/>
    </row>
    <row r="4" spans="3:5" ht="21.95" customHeight="1" thickTop="1" x14ac:dyDescent="0.25">
      <c r="C4" s="29" t="s">
        <v>14</v>
      </c>
      <c r="D4" s="30"/>
      <c r="E4" s="30"/>
    </row>
    <row r="6" spans="3:5" x14ac:dyDescent="0.25">
      <c r="C6" s="9" t="s">
        <v>80</v>
      </c>
      <c r="D6" s="10">
        <f>SUM(D10,D15,D20)</f>
        <v>3570</v>
      </c>
    </row>
    <row r="8" spans="3:5" x14ac:dyDescent="0.25">
      <c r="C8" s="7" t="s">
        <v>73</v>
      </c>
    </row>
    <row r="9" spans="3:5" x14ac:dyDescent="0.25">
      <c r="C9" s="8" t="s">
        <v>74</v>
      </c>
      <c r="D9" s="19" t="s">
        <v>23</v>
      </c>
    </row>
    <row r="10" spans="3:5" x14ac:dyDescent="0.25">
      <c r="C10" s="8" t="s">
        <v>75</v>
      </c>
      <c r="D10" s="20">
        <v>120</v>
      </c>
    </row>
    <row r="11" spans="3:5" x14ac:dyDescent="0.25">
      <c r="C11" s="8" t="s">
        <v>76</v>
      </c>
      <c r="D11" s="19" t="s">
        <v>77</v>
      </c>
    </row>
    <row r="13" spans="3:5" x14ac:dyDescent="0.25">
      <c r="C13" s="7" t="s">
        <v>78</v>
      </c>
    </row>
    <row r="14" spans="3:5" x14ac:dyDescent="0.25">
      <c r="C14" s="8" t="s">
        <v>74</v>
      </c>
      <c r="D14" s="19" t="s">
        <v>37</v>
      </c>
    </row>
    <row r="15" spans="3:5" x14ac:dyDescent="0.25">
      <c r="C15" s="8" t="s">
        <v>75</v>
      </c>
      <c r="D15" s="20">
        <v>3200</v>
      </c>
    </row>
    <row r="16" spans="3:5" x14ac:dyDescent="0.25">
      <c r="C16" s="8" t="s">
        <v>76</v>
      </c>
      <c r="D16" s="19" t="s">
        <v>77</v>
      </c>
    </row>
    <row r="18" spans="3:4" x14ac:dyDescent="0.25">
      <c r="C18" s="7" t="s">
        <v>79</v>
      </c>
    </row>
    <row r="19" spans="3:4" x14ac:dyDescent="0.25">
      <c r="C19" s="8" t="s">
        <v>74</v>
      </c>
      <c r="D19" s="19" t="s">
        <v>25</v>
      </c>
    </row>
    <row r="20" spans="3:4" x14ac:dyDescent="0.25">
      <c r="C20" s="8" t="s">
        <v>75</v>
      </c>
      <c r="D20" s="20">
        <v>250</v>
      </c>
    </row>
    <row r="21" spans="3:4" x14ac:dyDescent="0.25">
      <c r="C21" s="8" t="s">
        <v>76</v>
      </c>
      <c r="D21" s="19" t="s">
        <v>77</v>
      </c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40E5BF-C449-48CB-B58B-973A15404A6E}">
          <x14:formula1>
            <xm:f>BANCOS!$A$2:$A$51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2A69-CA92-4B26-91B1-9CD7356CB9E4}">
  <sheetPr codeName="Planilha3"/>
  <dimension ref="A1:H60"/>
  <sheetViews>
    <sheetView showGridLines="0" showRowColHeaders="0" zoomScaleNormal="100" workbookViewId="0">
      <selection activeCell="C9" sqref="C9"/>
    </sheetView>
  </sheetViews>
  <sheetFormatPr defaultRowHeight="15" x14ac:dyDescent="0.25"/>
  <cols>
    <col min="1" max="1" width="35.85546875" style="1" customWidth="1"/>
    <col min="2" max="2" width="7.28515625" customWidth="1"/>
    <col min="3" max="3" width="17.5703125" customWidth="1"/>
    <col min="4" max="4" width="25.7109375" customWidth="1"/>
    <col min="5" max="5" width="25" customWidth="1"/>
    <col min="6" max="6" width="20.7109375" customWidth="1"/>
    <col min="7" max="7" width="3.140625" customWidth="1"/>
    <col min="8" max="8" width="16.28515625" customWidth="1"/>
  </cols>
  <sheetData>
    <row r="1" spans="3:8" ht="15" customHeight="1" x14ac:dyDescent="0.25"/>
    <row r="3" spans="3:8" ht="20.25" thickBot="1" x14ac:dyDescent="0.35">
      <c r="C3" s="11" t="s">
        <v>82</v>
      </c>
      <c r="D3" s="2"/>
      <c r="E3" s="2"/>
      <c r="F3" s="2"/>
    </row>
    <row r="4" spans="3:8" ht="21.95" customHeight="1" thickTop="1" x14ac:dyDescent="0.25">
      <c r="C4" s="29" t="s">
        <v>83</v>
      </c>
      <c r="D4" s="30"/>
      <c r="E4" s="30"/>
      <c r="F4" s="30"/>
    </row>
    <row r="8" spans="3:8" ht="16.5" x14ac:dyDescent="0.3">
      <c r="C8" s="31" t="s">
        <v>99</v>
      </c>
      <c r="D8" s="31"/>
      <c r="E8" s="31"/>
      <c r="F8" s="31"/>
    </row>
    <row r="9" spans="3:8" x14ac:dyDescent="0.25">
      <c r="C9" s="21" t="s">
        <v>84</v>
      </c>
      <c r="D9" s="21" t="s">
        <v>85</v>
      </c>
      <c r="E9" s="21" t="s">
        <v>89</v>
      </c>
      <c r="F9" s="21" t="s">
        <v>86</v>
      </c>
      <c r="H9" s="25" t="s">
        <v>87</v>
      </c>
    </row>
    <row r="10" spans="3:8" ht="16.5" x14ac:dyDescent="0.3">
      <c r="C10" s="22">
        <v>46024</v>
      </c>
      <c r="D10" s="23" t="s">
        <v>88</v>
      </c>
      <c r="E10" s="23" t="s">
        <v>90</v>
      </c>
      <c r="F10" s="24">
        <v>4800</v>
      </c>
      <c r="H10" s="28">
        <f>IF(E10="","",SUMIFS($F$10:F60,$E$10:E60,"ENTRADA"))</f>
        <v>5100</v>
      </c>
    </row>
    <row r="11" spans="3:8" ht="16.5" x14ac:dyDescent="0.25">
      <c r="C11" s="22">
        <v>46024</v>
      </c>
      <c r="D11" s="23" t="s">
        <v>92</v>
      </c>
      <c r="E11" s="23" t="s">
        <v>93</v>
      </c>
      <c r="F11" s="24">
        <v>1500</v>
      </c>
    </row>
    <row r="12" spans="3:8" ht="16.5" x14ac:dyDescent="0.25">
      <c r="C12" s="22">
        <v>46023</v>
      </c>
      <c r="D12" s="23" t="s">
        <v>94</v>
      </c>
      <c r="E12" s="23" t="s">
        <v>90</v>
      </c>
      <c r="F12" s="24">
        <v>250</v>
      </c>
      <c r="H12" s="26" t="s">
        <v>91</v>
      </c>
    </row>
    <row r="13" spans="3:8" ht="16.5" x14ac:dyDescent="0.3">
      <c r="C13" s="22">
        <v>46024</v>
      </c>
      <c r="D13" s="23" t="s">
        <v>95</v>
      </c>
      <c r="E13" s="23" t="s">
        <v>93</v>
      </c>
      <c r="F13" s="24">
        <v>50</v>
      </c>
      <c r="H13" s="27">
        <f>IF(E10="","",SUMIFS($F$10:F60,$E$10:E60,"SAIDA"))</f>
        <v>2050</v>
      </c>
    </row>
    <row r="14" spans="3:8" ht="16.5" x14ac:dyDescent="0.25">
      <c r="C14" s="22">
        <v>46031</v>
      </c>
      <c r="D14" s="23" t="s">
        <v>96</v>
      </c>
      <c r="E14" s="23" t="s">
        <v>93</v>
      </c>
      <c r="F14" s="24">
        <v>150</v>
      </c>
    </row>
    <row r="15" spans="3:8" ht="16.5" x14ac:dyDescent="0.25">
      <c r="C15" s="22">
        <v>46031</v>
      </c>
      <c r="D15" s="23" t="s">
        <v>94</v>
      </c>
      <c r="E15" s="23" t="s">
        <v>90</v>
      </c>
      <c r="F15" s="24">
        <v>50</v>
      </c>
      <c r="H15" s="26" t="s">
        <v>97</v>
      </c>
    </row>
    <row r="16" spans="3:8" ht="16.5" x14ac:dyDescent="0.3">
      <c r="C16" s="22">
        <v>46031</v>
      </c>
      <c r="D16" s="23" t="s">
        <v>98</v>
      </c>
      <c r="E16" s="23" t="s">
        <v>93</v>
      </c>
      <c r="F16" s="24">
        <v>350</v>
      </c>
      <c r="H16" s="32">
        <f>IF(E13="","",SUMIFS($F$10:F60,$E$10:E60,"ENTRADA")-SUMIFS($F$10:F63,$E$10:E63,"SAIDA"))</f>
        <v>3050</v>
      </c>
    </row>
    <row r="17" spans="3:8" ht="16.5" x14ac:dyDescent="0.25">
      <c r="C17" s="22"/>
      <c r="D17" s="23"/>
      <c r="E17" s="23"/>
      <c r="F17" s="24"/>
    </row>
    <row r="18" spans="3:8" ht="16.5" x14ac:dyDescent="0.25">
      <c r="C18" s="22"/>
      <c r="D18" s="23"/>
      <c r="E18" s="23"/>
      <c r="F18" s="24"/>
      <c r="H18" s="33">
        <v>0</v>
      </c>
    </row>
    <row r="19" spans="3:8" ht="16.5" x14ac:dyDescent="0.25">
      <c r="C19" s="22"/>
      <c r="D19" s="23"/>
      <c r="E19" s="23"/>
      <c r="F19" s="24"/>
    </row>
    <row r="20" spans="3:8" ht="16.5" x14ac:dyDescent="0.25">
      <c r="C20" s="22"/>
      <c r="D20" s="23"/>
      <c r="E20" s="23"/>
      <c r="F20" s="24"/>
    </row>
    <row r="21" spans="3:8" ht="16.5" x14ac:dyDescent="0.25">
      <c r="C21" s="22"/>
      <c r="D21" s="23"/>
      <c r="E21" s="23"/>
      <c r="F21" s="24"/>
    </row>
    <row r="22" spans="3:8" ht="16.5" x14ac:dyDescent="0.25">
      <c r="C22" s="22"/>
      <c r="D22" s="23"/>
      <c r="E22" s="23"/>
      <c r="F22" s="24"/>
    </row>
    <row r="23" spans="3:8" ht="16.5" x14ac:dyDescent="0.25">
      <c r="C23" s="22"/>
      <c r="D23" s="23"/>
      <c r="E23" s="23"/>
      <c r="F23" s="24"/>
    </row>
    <row r="24" spans="3:8" ht="16.5" x14ac:dyDescent="0.25">
      <c r="C24" s="22"/>
      <c r="D24" s="23"/>
      <c r="E24" s="23"/>
      <c r="F24" s="24"/>
    </row>
    <row r="25" spans="3:8" ht="16.5" x14ac:dyDescent="0.25">
      <c r="C25" s="22"/>
      <c r="D25" s="23"/>
      <c r="E25" s="23"/>
      <c r="F25" s="24"/>
    </row>
    <row r="26" spans="3:8" ht="16.5" x14ac:dyDescent="0.25">
      <c r="C26" s="22"/>
      <c r="D26" s="23"/>
      <c r="E26" s="23"/>
      <c r="F26" s="24"/>
    </row>
    <row r="27" spans="3:8" ht="16.5" x14ac:dyDescent="0.25">
      <c r="C27" s="22"/>
      <c r="D27" s="23"/>
      <c r="E27" s="23"/>
      <c r="F27" s="24"/>
    </row>
    <row r="28" spans="3:8" ht="16.5" x14ac:dyDescent="0.25">
      <c r="C28" s="22"/>
      <c r="D28" s="23"/>
      <c r="E28" s="23"/>
      <c r="F28" s="24"/>
    </row>
    <row r="29" spans="3:8" ht="16.5" x14ac:dyDescent="0.25">
      <c r="C29" s="22"/>
      <c r="D29" s="23"/>
      <c r="E29" s="23"/>
      <c r="F29" s="24"/>
    </row>
    <row r="30" spans="3:8" ht="16.5" x14ac:dyDescent="0.25">
      <c r="C30" s="22"/>
      <c r="D30" s="23"/>
      <c r="E30" s="23"/>
      <c r="F30" s="24"/>
    </row>
    <row r="31" spans="3:8" ht="16.5" x14ac:dyDescent="0.25">
      <c r="C31" s="22"/>
      <c r="D31" s="23"/>
      <c r="E31" s="23"/>
      <c r="F31" s="24"/>
    </row>
    <row r="32" spans="3:8" ht="16.5" x14ac:dyDescent="0.25">
      <c r="C32" s="22"/>
      <c r="D32" s="23"/>
      <c r="E32" s="23"/>
      <c r="F32" s="24"/>
    </row>
    <row r="33" spans="3:6" ht="16.5" x14ac:dyDescent="0.25">
      <c r="C33" s="22"/>
      <c r="D33" s="23"/>
      <c r="E33" s="23"/>
      <c r="F33" s="24"/>
    </row>
    <row r="34" spans="3:6" ht="16.5" x14ac:dyDescent="0.25">
      <c r="C34" s="22"/>
      <c r="D34" s="23"/>
      <c r="E34" s="23"/>
      <c r="F34" s="24"/>
    </row>
    <row r="35" spans="3:6" ht="16.5" x14ac:dyDescent="0.25">
      <c r="C35" s="22"/>
      <c r="D35" s="23"/>
      <c r="E35" s="23"/>
      <c r="F35" s="24"/>
    </row>
    <row r="36" spans="3:6" ht="16.5" x14ac:dyDescent="0.25">
      <c r="C36" s="22"/>
      <c r="D36" s="23"/>
      <c r="E36" s="23"/>
      <c r="F36" s="24"/>
    </row>
    <row r="37" spans="3:6" ht="16.5" x14ac:dyDescent="0.25">
      <c r="C37" s="22"/>
      <c r="D37" s="23"/>
      <c r="E37" s="23"/>
      <c r="F37" s="24"/>
    </row>
    <row r="38" spans="3:6" ht="16.5" x14ac:dyDescent="0.25">
      <c r="C38" s="22"/>
      <c r="D38" s="23"/>
      <c r="E38" s="23"/>
      <c r="F38" s="24"/>
    </row>
    <row r="39" spans="3:6" ht="16.5" x14ac:dyDescent="0.25">
      <c r="C39" s="22"/>
      <c r="D39" s="23"/>
      <c r="E39" s="23"/>
      <c r="F39" s="24"/>
    </row>
    <row r="40" spans="3:6" ht="16.5" x14ac:dyDescent="0.25">
      <c r="C40" s="22"/>
      <c r="D40" s="23"/>
      <c r="E40" s="23"/>
      <c r="F40" s="24"/>
    </row>
    <row r="41" spans="3:6" ht="16.5" x14ac:dyDescent="0.25">
      <c r="C41" s="22"/>
      <c r="D41" s="23"/>
      <c r="E41" s="23"/>
      <c r="F41" s="24"/>
    </row>
    <row r="42" spans="3:6" ht="16.5" x14ac:dyDescent="0.25">
      <c r="C42" s="22"/>
      <c r="D42" s="23"/>
      <c r="E42" s="23"/>
      <c r="F42" s="24"/>
    </row>
    <row r="43" spans="3:6" ht="16.5" x14ac:dyDescent="0.25">
      <c r="C43" s="22"/>
      <c r="D43" s="23"/>
      <c r="E43" s="23"/>
      <c r="F43" s="24"/>
    </row>
    <row r="44" spans="3:6" ht="16.5" x14ac:dyDescent="0.25">
      <c r="C44" s="22"/>
      <c r="D44" s="23"/>
      <c r="E44" s="23"/>
      <c r="F44" s="24"/>
    </row>
    <row r="45" spans="3:6" ht="16.5" x14ac:dyDescent="0.25">
      <c r="C45" s="22"/>
      <c r="D45" s="23"/>
      <c r="E45" s="23"/>
      <c r="F45" s="24"/>
    </row>
    <row r="46" spans="3:6" ht="16.5" x14ac:dyDescent="0.25">
      <c r="C46" s="22"/>
      <c r="D46" s="23"/>
      <c r="E46" s="23"/>
      <c r="F46" s="24"/>
    </row>
    <row r="47" spans="3:6" ht="16.5" x14ac:dyDescent="0.25">
      <c r="C47" s="22"/>
      <c r="D47" s="23"/>
      <c r="E47" s="23"/>
      <c r="F47" s="24"/>
    </row>
    <row r="48" spans="3:6" ht="16.5" x14ac:dyDescent="0.25">
      <c r="C48" s="22"/>
      <c r="D48" s="23"/>
      <c r="E48" s="23"/>
      <c r="F48" s="24"/>
    </row>
    <row r="49" spans="3:6" ht="16.5" x14ac:dyDescent="0.25">
      <c r="C49" s="22"/>
      <c r="D49" s="23"/>
      <c r="E49" s="23"/>
      <c r="F49" s="24"/>
    </row>
    <row r="50" spans="3:6" ht="16.5" x14ac:dyDescent="0.25">
      <c r="C50" s="22"/>
      <c r="D50" s="23"/>
      <c r="E50" s="23"/>
      <c r="F50" s="24"/>
    </row>
    <row r="51" spans="3:6" ht="16.5" x14ac:dyDescent="0.25">
      <c r="C51" s="22"/>
      <c r="D51" s="23"/>
      <c r="E51" s="23"/>
      <c r="F51" s="24"/>
    </row>
    <row r="52" spans="3:6" ht="16.5" x14ac:dyDescent="0.25">
      <c r="C52" s="22"/>
      <c r="D52" s="23"/>
      <c r="E52" s="23"/>
      <c r="F52" s="24"/>
    </row>
    <row r="53" spans="3:6" ht="16.5" x14ac:dyDescent="0.25">
      <c r="C53" s="22"/>
      <c r="D53" s="23"/>
      <c r="E53" s="23"/>
      <c r="F53" s="24"/>
    </row>
    <row r="54" spans="3:6" ht="16.5" x14ac:dyDescent="0.25">
      <c r="C54" s="22"/>
      <c r="D54" s="23"/>
      <c r="E54" s="23"/>
      <c r="F54" s="24"/>
    </row>
    <row r="55" spans="3:6" ht="16.5" x14ac:dyDescent="0.25">
      <c r="C55" s="22"/>
      <c r="D55" s="23"/>
      <c r="E55" s="23"/>
      <c r="F55" s="24"/>
    </row>
    <row r="56" spans="3:6" ht="16.5" x14ac:dyDescent="0.25">
      <c r="C56" s="22"/>
      <c r="D56" s="23"/>
      <c r="E56" s="23"/>
      <c r="F56" s="24"/>
    </row>
    <row r="57" spans="3:6" ht="16.5" x14ac:dyDescent="0.25">
      <c r="C57" s="22"/>
      <c r="D57" s="23"/>
      <c r="E57" s="23"/>
      <c r="F57" s="24"/>
    </row>
    <row r="58" spans="3:6" ht="16.5" x14ac:dyDescent="0.25">
      <c r="C58" s="22"/>
      <c r="D58" s="23"/>
      <c r="E58" s="23"/>
      <c r="F58" s="24"/>
    </row>
    <row r="59" spans="3:6" ht="16.5" x14ac:dyDescent="0.25">
      <c r="C59" s="22"/>
      <c r="D59" s="23"/>
      <c r="E59" s="23"/>
      <c r="F59" s="24"/>
    </row>
    <row r="60" spans="3:6" ht="16.5" x14ac:dyDescent="0.25">
      <c r="C60" s="22"/>
      <c r="D60" s="23"/>
      <c r="E60" s="23"/>
      <c r="F60" s="24"/>
    </row>
  </sheetData>
  <sheetProtection selectLockedCells="1"/>
  <mergeCells count="2">
    <mergeCell ref="C4:F4"/>
    <mergeCell ref="C8:F8"/>
  </mergeCells>
  <conditionalFormatting sqref="H16">
    <cfRule type="cellIs" dxfId="1" priority="1" operator="lessThan">
      <formula>0</formula>
    </cfRule>
  </conditionalFormatting>
  <dataValidations count="2">
    <dataValidation type="list" allowBlank="1" showInputMessage="1" showErrorMessage="1" sqref="D10:D60" xr:uid="{8A8F2CF8-4300-4EB9-BB04-9D1951320C01}">
      <formula1>"HOLERITH,PIX,DOAÇÃO,RACHALANCHE,ALIMENTAÇÃO,COMBUSTÍVEL,ALUGUEL,REPAROS,ENERGIA,AGUA,FACULDADE,"</formula1>
    </dataValidation>
    <dataValidation type="list" allowBlank="1" showInputMessage="1" showErrorMessage="1" sqref="E10:E60" xr:uid="{E8A226EE-8DAC-4EE8-8D7E-FFD9E6AD9F04}">
      <formula1>"ENTRADA,SAIDA"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3029-B451-4849-B4C4-99ACA0DCC574}">
  <dimension ref="A1:A51"/>
  <sheetViews>
    <sheetView topLeftCell="A20" workbookViewId="0">
      <selection sqref="A1:A51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Vasconcellos</dc:creator>
  <cp:lastModifiedBy>Sandro Vasconcellos</cp:lastModifiedBy>
  <dcterms:created xsi:type="dcterms:W3CDTF">2026-01-08T19:39:38Z</dcterms:created>
  <dcterms:modified xsi:type="dcterms:W3CDTF">2026-01-09T23:02:05Z</dcterms:modified>
</cp:coreProperties>
</file>